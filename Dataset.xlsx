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dha\Downloads\"/>
    </mc:Choice>
  </mc:AlternateContent>
  <xr:revisionPtr revIDLastSave="0" documentId="13_ncr:1_{EF0290BA-BA36-4CB6-B9F4-CE7025D0B5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  <sheet name="Feb-Mar Spending Tracker" sheetId="1" r:id="rId2"/>
  </sheets>
  <calcPr calcId="191029"/>
  <pivotCaches>
    <pivotCache cacheId="6" r:id="rId3"/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/>
  <c r="D28" i="1"/>
  <c r="J15" i="1" s="1"/>
  <c r="K15" i="1" s="1"/>
  <c r="D24" i="1"/>
  <c r="D23" i="1"/>
  <c r="J13" i="1" s="1"/>
  <c r="K13" i="1" s="1"/>
  <c r="D16" i="1"/>
  <c r="D4" i="1"/>
  <c r="D3" i="1"/>
  <c r="D2" i="1"/>
  <c r="J7" i="1"/>
  <c r="B3" i="2"/>
  <c r="B5" i="2" s="1"/>
  <c r="B2" i="2"/>
  <c r="B4" i="2" l="1"/>
  <c r="J14" i="1"/>
  <c r="K14" i="1" s="1"/>
  <c r="J6" i="1"/>
  <c r="J8" i="1" s="1"/>
  <c r="J9" i="1" s="1"/>
</calcChain>
</file>

<file path=xl/sharedStrings.xml><?xml version="1.0" encoding="utf-8"?>
<sst xmlns="http://schemas.openxmlformats.org/spreadsheetml/2006/main" count="114" uniqueCount="46">
  <si>
    <t>Date</t>
  </si>
  <si>
    <t>Description</t>
  </si>
  <si>
    <t>Category</t>
  </si>
  <si>
    <t>Withdrawal (₹)</t>
  </si>
  <si>
    <t>Deposit (₹)</t>
  </si>
  <si>
    <t>Balance (₹)</t>
  </si>
  <si>
    <t>Notes</t>
  </si>
  <si>
    <t>Monthly Health Indicator</t>
  </si>
  <si>
    <t>Investment (SIP/Stocks)</t>
  </si>
  <si>
    <t>Zerodha, MF, CDSL</t>
  </si>
  <si>
    <t>Green = Good</t>
  </si>
  <si>
    <t>Food &amp; Groceries</t>
  </si>
  <si>
    <t>Fruits, snacks, ice cream</t>
  </si>
  <si>
    <t>Yellow = Watch</t>
  </si>
  <si>
    <t>Xerox, chai, small transfers</t>
  </si>
  <si>
    <t>Red = Overspend</t>
  </si>
  <si>
    <t>Income</t>
  </si>
  <si>
    <t>Pocket money, cash received</t>
  </si>
  <si>
    <t>Total Withdrawals</t>
  </si>
  <si>
    <t>Total Deposits</t>
  </si>
  <si>
    <t>Net Spend</t>
  </si>
  <si>
    <t>Status</t>
  </si>
  <si>
    <t>Category Indicators</t>
  </si>
  <si>
    <t>Food Spending</t>
  </si>
  <si>
    <t>Investment Spending</t>
  </si>
  <si>
    <t>Zerodha</t>
  </si>
  <si>
    <t>Groceries</t>
  </si>
  <si>
    <t>Xerox</t>
  </si>
  <si>
    <t xml:space="preserve">Miscelleneous </t>
  </si>
  <si>
    <t>Nill</t>
  </si>
  <si>
    <t>Books</t>
  </si>
  <si>
    <t>Snacks</t>
  </si>
  <si>
    <t>Transport</t>
  </si>
  <si>
    <t>Stationary</t>
  </si>
  <si>
    <t>Fruits</t>
  </si>
  <si>
    <t>Sum of Withdrawal (₹)</t>
  </si>
  <si>
    <t>Row Labels</t>
  </si>
  <si>
    <t>Grand Total</t>
  </si>
  <si>
    <t>Sum of Deposit (₹)</t>
  </si>
  <si>
    <t>KPI</t>
  </si>
  <si>
    <t>Formula</t>
  </si>
  <si>
    <t>Total Income</t>
  </si>
  <si>
    <t>Total Expense</t>
  </si>
  <si>
    <t>Savings</t>
  </si>
  <si>
    <t>Investment %</t>
  </si>
  <si>
    <t>Sum of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</si>
</sst>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7">
    <dxf>
      <numFmt numFmtId="170" formatCode="0.0000%"/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C9E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[Spending_Tracker (1).xlsx]Sheet1!PivotTable2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Sheet1!$B$7</c:f>
              <c:strCache>
                <c:ptCount val="1"/>
                <c:pt idx="0">
                  <c:v>Sum of Withdrawal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Sheet1!$A$8:$A$12</c:f>
              <c:strCache>
                <c:ptCount val="4"/>
                <c:pt idx="0">
                  <c:v>Food &amp; Groceries</c:v>
                </c:pt>
                <c:pt idx="1">
                  <c:v>Income</c:v>
                </c:pt>
                <c:pt idx="2">
                  <c:v>Investment (SIP/Stocks)</c:v>
                </c:pt>
                <c:pt idx="3">
                  <c:v>Miscelleneous </c:v>
                </c:pt>
              </c:strCache>
            </c:strRef>
          </c:cat>
          <c:val>
            <c:numRef>
              <c:f>Sheet1!$B$8:$B$12</c:f>
              <c:numCache>
                <c:formatCode>General</c:formatCode>
                <c:ptCount val="4"/>
                <c:pt idx="0">
                  <c:v>1052</c:v>
                </c:pt>
                <c:pt idx="2">
                  <c:v>1929</c:v>
                </c:pt>
                <c:pt idx="3">
                  <c:v>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8-480E-B28C-01211EFD25BC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Sum of Deposit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Sheet1!$A$8:$A$12</c:f>
              <c:strCache>
                <c:ptCount val="4"/>
                <c:pt idx="0">
                  <c:v>Food &amp; Groceries</c:v>
                </c:pt>
                <c:pt idx="1">
                  <c:v>Income</c:v>
                </c:pt>
                <c:pt idx="2">
                  <c:v>Investment (SIP/Stocks)</c:v>
                </c:pt>
                <c:pt idx="3">
                  <c:v>Miscelleneous </c:v>
                </c:pt>
              </c:strCache>
            </c:strRef>
          </c:cat>
          <c:val>
            <c:numRef>
              <c:f>Sheet1!$C$8:$C$12</c:f>
              <c:numCache>
                <c:formatCode>General</c:formatCode>
                <c:ptCount val="4"/>
                <c:pt idx="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8-480E-B28C-01211EFD2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[Spending_Tracker (1).xlsx]Sheet1!PivotTable6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Sheet1!$H$7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Sheet1!$G$8:$G$12</c:f>
              <c:strCache>
                <c:ptCount val="4"/>
                <c:pt idx="0">
                  <c:v>Investment %</c:v>
                </c:pt>
                <c:pt idx="1">
                  <c:v>Savings</c:v>
                </c:pt>
                <c:pt idx="2">
                  <c:v>Total Expense</c:v>
                </c:pt>
                <c:pt idx="3">
                  <c:v>Total Income</c:v>
                </c:pt>
              </c:strCache>
            </c:strRef>
          </c:cat>
          <c:val>
            <c:numRef>
              <c:f>Sheet1!$H$8:$H$12</c:f>
              <c:numCache>
                <c:formatCode>General</c:formatCode>
                <c:ptCount val="4"/>
                <c:pt idx="0">
                  <c:v>52.704918032786885</c:v>
                </c:pt>
                <c:pt idx="1">
                  <c:v>-1660</c:v>
                </c:pt>
                <c:pt idx="2">
                  <c:v>3660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E-465A-9B46-AC719C54C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12</xdr:row>
      <xdr:rowOff>60960</xdr:rowOff>
    </xdr:from>
    <xdr:to>
      <xdr:col>3</xdr:col>
      <xdr:colOff>53340</xdr:colOff>
      <xdr:row>27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90114-7EF9-469C-386F-B5B6CBF33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609600</xdr:colOff>
      <xdr:row>13</xdr:row>
      <xdr:rowOff>30480</xdr:rowOff>
    </xdr:from>
    <xdr:to>
      <xdr:col>11</xdr:col>
      <xdr:colOff>0</xdr:colOff>
      <xdr:row>27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3EAEE-E397-508C-7D92-2E02E9C70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ha" refreshedDate="46169.871678819443" createdVersion="8" refreshedVersion="8" minRefreshableVersion="3" recordCount="37" xr:uid="{7984885C-0AF1-4BD6-A62C-47300591D418}">
  <cacheSource type="worksheet">
    <worksheetSource ref="A1:G38" sheet="Feb-Mar Spending Tracker"/>
  </cacheSource>
  <cacheFields count="7">
    <cacheField name="Date" numFmtId="14">
      <sharedItems containsSemiMixedTypes="0" containsNonDate="0" containsDate="1" containsString="0" minDate="2026-03-01T00:00:00" maxDate="2026-04-01T00:00:00"/>
    </cacheField>
    <cacheField name="Description" numFmtId="0">
      <sharedItems containsBlank="1"/>
    </cacheField>
    <cacheField name="Category" numFmtId="0">
      <sharedItems containsBlank="1" count="6">
        <s v="Investment (SIP/Stocks)"/>
        <s v="Food &amp; Groceries"/>
        <s v="Income"/>
        <s v="Nill"/>
        <s v="Miscelleneous "/>
        <m/>
      </sharedItems>
    </cacheField>
    <cacheField name="Withdrawal (₹)" numFmtId="0">
      <sharedItems containsString="0" containsBlank="1" containsNumber="1" containsInteger="1" minValue="4" maxValue="822"/>
    </cacheField>
    <cacheField name="Deposit (₹)" numFmtId="0">
      <sharedItems containsString="0" containsBlank="1" containsNumber="1" containsInteger="1" minValue="2000" maxValue="2000"/>
    </cacheField>
    <cacheField name="Balance (₹)" numFmtId="0">
      <sharedItems containsNonDate="0" containsString="0"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ha" refreshedDate="46169.887782638885" createdVersion="8" refreshedVersion="8" minRefreshableVersion="3" recordCount="4" xr:uid="{A08EF4B1-4B03-4849-A7FF-4DD63F0F5CD5}">
  <cacheSource type="worksheet">
    <worksheetSource ref="A1:B5" sheet="Sheet1"/>
  </cacheSource>
  <cacheFields count="2">
    <cacheField name="KPI" numFmtId="0">
      <sharedItems count="4">
        <s v="Total Income"/>
        <s v="Total Expense"/>
        <s v="Savings"/>
        <s v="Investment %"/>
      </sharedItems>
    </cacheField>
    <cacheField name="Formula" numFmtId="0">
      <sharedItems containsSemiMixedTypes="0" containsString="0" containsNumber="1" minValue="-1660" maxValue="36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d v="2026-03-01T00:00:00"/>
    <s v="Zerodha"/>
    <x v="0"/>
    <n v="822"/>
    <m/>
    <m/>
    <s v="Zerodha, MF, CDSL"/>
  </r>
  <r>
    <d v="2026-03-02T00:00:00"/>
    <s v="Groceries"/>
    <x v="1"/>
    <n v="77"/>
    <m/>
    <m/>
    <s v="Fruits, snacks, ice cream"/>
  </r>
  <r>
    <d v="2026-03-03T00:00:00"/>
    <s v="Groceries"/>
    <x v="1"/>
    <n v="110"/>
    <m/>
    <m/>
    <s v="Xerox, chai, small transfers"/>
  </r>
  <r>
    <d v="2026-03-03T00:00:00"/>
    <s v="Income"/>
    <x v="2"/>
    <m/>
    <n v="2000"/>
    <m/>
    <s v="Pocket money, cash received"/>
  </r>
  <r>
    <d v="2026-03-04T00:00:00"/>
    <s v="Nill"/>
    <x v="3"/>
    <m/>
    <m/>
    <m/>
    <m/>
  </r>
  <r>
    <d v="2026-03-05T00:00:00"/>
    <s v="Xerox"/>
    <x v="4"/>
    <n v="4"/>
    <m/>
    <m/>
    <m/>
  </r>
  <r>
    <d v="2026-03-06T00:00:00"/>
    <s v="Xerox"/>
    <x v="4"/>
    <n v="10"/>
    <m/>
    <m/>
    <m/>
  </r>
  <r>
    <d v="2026-03-06T00:00:00"/>
    <s v="Books"/>
    <x v="4"/>
    <n v="100"/>
    <m/>
    <m/>
    <m/>
  </r>
  <r>
    <d v="2026-03-06T00:00:00"/>
    <s v="Zerodha"/>
    <x v="0"/>
    <n v="750"/>
    <m/>
    <m/>
    <m/>
  </r>
  <r>
    <d v="2026-03-07T00:00:00"/>
    <s v="Snacks"/>
    <x v="1"/>
    <n v="160"/>
    <m/>
    <m/>
    <m/>
  </r>
  <r>
    <d v="2026-03-08T00:00:00"/>
    <s v="Groceries"/>
    <x v="1"/>
    <n v="76"/>
    <m/>
    <m/>
    <m/>
  </r>
  <r>
    <d v="2026-03-09T00:00:00"/>
    <s v="Nill"/>
    <x v="3"/>
    <m/>
    <m/>
    <m/>
    <m/>
  </r>
  <r>
    <d v="2026-03-10T00:00:00"/>
    <s v="Nill"/>
    <x v="3"/>
    <m/>
    <m/>
    <m/>
    <m/>
  </r>
  <r>
    <d v="2026-03-11T00:00:00"/>
    <s v="Snacks"/>
    <x v="1"/>
    <n v="15"/>
    <m/>
    <m/>
    <m/>
  </r>
  <r>
    <d v="2026-03-12T00:00:00"/>
    <s v="Snacks"/>
    <x v="1"/>
    <n v="34"/>
    <m/>
    <m/>
    <m/>
  </r>
  <r>
    <d v="2026-03-13T00:00:00"/>
    <s v="Transport"/>
    <x v="4"/>
    <n v="50"/>
    <m/>
    <m/>
    <m/>
  </r>
  <r>
    <d v="2026-03-13T00:00:00"/>
    <s v="Snacks"/>
    <x v="1"/>
    <n v="40"/>
    <m/>
    <m/>
    <m/>
  </r>
  <r>
    <d v="2026-03-14T00:00:00"/>
    <m/>
    <x v="5"/>
    <m/>
    <m/>
    <m/>
    <m/>
  </r>
  <r>
    <d v="2026-03-15T00:00:00"/>
    <m/>
    <x v="5"/>
    <m/>
    <m/>
    <m/>
    <m/>
  </r>
  <r>
    <d v="2026-03-16T00:00:00"/>
    <s v="Transport"/>
    <x v="4"/>
    <n v="50"/>
    <m/>
    <m/>
    <m/>
  </r>
  <r>
    <d v="2026-03-17T00:00:00"/>
    <s v="Snacks"/>
    <x v="1"/>
    <n v="45"/>
    <m/>
    <m/>
    <m/>
  </r>
  <r>
    <d v="2026-03-18T00:00:00"/>
    <s v="Snacks"/>
    <x v="1"/>
    <n v="120"/>
    <m/>
    <m/>
    <m/>
  </r>
  <r>
    <d v="2026-03-19T00:00:00"/>
    <s v="Transport"/>
    <x v="4"/>
    <n v="304"/>
    <m/>
    <m/>
    <m/>
  </r>
  <r>
    <d v="2026-03-20T00:00:00"/>
    <s v="Nill"/>
    <x v="3"/>
    <m/>
    <m/>
    <m/>
    <m/>
  </r>
  <r>
    <d v="2026-03-21T00:00:00"/>
    <s v="Nill"/>
    <x v="3"/>
    <m/>
    <m/>
    <m/>
    <m/>
  </r>
  <r>
    <d v="2026-03-22T00:00:00"/>
    <s v="Nill"/>
    <x v="3"/>
    <m/>
    <m/>
    <m/>
    <m/>
  </r>
  <r>
    <d v="2026-03-23T00:00:00"/>
    <s v="Transport"/>
    <x v="4"/>
    <n v="149"/>
    <m/>
    <m/>
    <m/>
  </r>
  <r>
    <d v="2026-03-24T00:00:00"/>
    <s v="Snacks"/>
    <x v="1"/>
    <n v="20"/>
    <m/>
    <m/>
    <m/>
  </r>
  <r>
    <d v="2026-03-25T00:00:00"/>
    <s v="Snacks"/>
    <x v="1"/>
    <n v="50"/>
    <m/>
    <m/>
    <m/>
  </r>
  <r>
    <d v="2026-03-26T00:00:00"/>
    <s v="Snacks"/>
    <x v="1"/>
    <n v="165"/>
    <m/>
    <m/>
    <m/>
  </r>
  <r>
    <d v="2026-03-27T00:00:00"/>
    <s v="Nill"/>
    <x v="3"/>
    <m/>
    <m/>
    <m/>
    <m/>
  </r>
  <r>
    <d v="2026-03-28T00:00:00"/>
    <s v="Zerodha"/>
    <x v="0"/>
    <n v="357"/>
    <m/>
    <m/>
    <m/>
  </r>
  <r>
    <d v="2026-03-28T00:00:00"/>
    <s v="Snacks"/>
    <x v="1"/>
    <n v="20"/>
    <m/>
    <m/>
    <m/>
  </r>
  <r>
    <d v="2026-03-28T00:00:00"/>
    <s v="Stationary"/>
    <x v="4"/>
    <n v="12"/>
    <m/>
    <m/>
    <m/>
  </r>
  <r>
    <d v="2026-03-29T00:00:00"/>
    <s v="Nill"/>
    <x v="3"/>
    <m/>
    <m/>
    <m/>
    <m/>
  </r>
  <r>
    <d v="2026-03-30T00:00:00"/>
    <s v="Nill"/>
    <x v="3"/>
    <m/>
    <m/>
    <m/>
    <m/>
  </r>
  <r>
    <d v="2026-03-31T00:00:00"/>
    <s v="Fruits"/>
    <x v="1"/>
    <n v="12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000"/>
  </r>
  <r>
    <x v="1"/>
    <n v="3660"/>
  </r>
  <r>
    <x v="2"/>
    <n v="-1660"/>
  </r>
  <r>
    <x v="3"/>
    <n v="52.7049180327868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6B3D0-B3C8-4170-966B-90BBA08A6B8E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7:H12" firstHeaderRow="1" firstDataRow="1" firstDataCol="1"/>
  <pivotFields count="2"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ormula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DFF99-16F7-44E2-BF41-66AB3AF70AC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:C12" firstHeaderRow="0" firstDataRow="1" firstDataCol="1"/>
  <pivotFields count="7">
    <pivotField numFmtId="14" showAll="0"/>
    <pivotField showAll="0"/>
    <pivotField axis="axisRow" showAll="0">
      <items count="7">
        <item x="1"/>
        <item x="2"/>
        <item x="0"/>
        <item x="4"/>
        <item h="1" x="3"/>
        <item h="1" x="5"/>
        <item t="default"/>
      </items>
    </pivotField>
    <pivotField dataField="1"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ithdrawal (₹)" fld="3" baseField="0" baseItem="0"/>
    <dataField name="Sum of Deposit (₹)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7DB7-3C40-4BC7-BF0E-4F0363CD4DC3}">
  <dimension ref="A1:H12"/>
  <sheetViews>
    <sheetView tabSelected="1" topLeftCell="A7" workbookViewId="0">
      <selection activeCell="J9" sqref="J9"/>
    </sheetView>
  </sheetViews>
  <sheetFormatPr defaultRowHeight="14.4" x14ac:dyDescent="0.3"/>
  <cols>
    <col min="1" max="1" width="20.33203125" bestFit="1" customWidth="1"/>
    <col min="2" max="2" width="20.109375" bestFit="1" customWidth="1"/>
    <col min="3" max="3" width="16.6640625" bestFit="1" customWidth="1"/>
    <col min="4" max="4" width="21.6640625" bestFit="1" customWidth="1"/>
    <col min="5" max="5" width="13.44140625" bestFit="1" customWidth="1"/>
    <col min="6" max="6" width="3.6640625" bestFit="1" customWidth="1"/>
    <col min="7" max="7" width="12.5546875" bestFit="1" customWidth="1"/>
    <col min="8" max="8" width="14.44140625" bestFit="1" customWidth="1"/>
  </cols>
  <sheetData>
    <row r="1" spans="1:8" x14ac:dyDescent="0.3">
      <c r="A1" t="s">
        <v>39</v>
      </c>
      <c r="B1" s="5" t="s">
        <v>40</v>
      </c>
    </row>
    <row r="2" spans="1:8" x14ac:dyDescent="0.3">
      <c r="A2" t="s">
        <v>41</v>
      </c>
      <c r="B2">
        <f>GETPIVOTDATA("Sum of Deposit (₹)",$A$7)</f>
        <v>2000</v>
      </c>
    </row>
    <row r="3" spans="1:8" x14ac:dyDescent="0.3">
      <c r="A3" t="s">
        <v>42</v>
      </c>
      <c r="B3">
        <f>GETPIVOTDATA("Sum of Withdrawal (₹)",$A$7)</f>
        <v>3660</v>
      </c>
    </row>
    <row r="4" spans="1:8" x14ac:dyDescent="0.3">
      <c r="A4" t="s">
        <v>43</v>
      </c>
      <c r="B4">
        <f>B2-B3</f>
        <v>-1660</v>
      </c>
    </row>
    <row r="5" spans="1:8" x14ac:dyDescent="0.3">
      <c r="A5" t="s">
        <v>44</v>
      </c>
      <c r="B5">
        <f>(GETPIVOTDATA("Sum of Withdrawal (₹)",$A$7,"Category","Investment (SIP/Stocks)")/B3)*100</f>
        <v>52.704918032786885</v>
      </c>
    </row>
    <row r="7" spans="1:8" x14ac:dyDescent="0.3">
      <c r="A7" s="2" t="s">
        <v>36</v>
      </c>
      <c r="B7" t="s">
        <v>35</v>
      </c>
      <c r="C7" t="s">
        <v>38</v>
      </c>
      <c r="G7" s="2" t="s">
        <v>36</v>
      </c>
      <c r="H7" t="s">
        <v>45</v>
      </c>
    </row>
    <row r="8" spans="1:8" x14ac:dyDescent="0.3">
      <c r="A8" s="3" t="s">
        <v>11</v>
      </c>
      <c r="B8" s="4">
        <v>1052</v>
      </c>
      <c r="C8" s="4"/>
      <c r="G8" s="3" t="s">
        <v>44</v>
      </c>
      <c r="H8" s="4">
        <v>52.704918032786885</v>
      </c>
    </row>
    <row r="9" spans="1:8" x14ac:dyDescent="0.3">
      <c r="A9" s="3" t="s">
        <v>16</v>
      </c>
      <c r="B9" s="4"/>
      <c r="C9" s="4">
        <v>2000</v>
      </c>
      <c r="G9" s="3" t="s">
        <v>43</v>
      </c>
      <c r="H9" s="4">
        <v>-1660</v>
      </c>
    </row>
    <row r="10" spans="1:8" x14ac:dyDescent="0.3">
      <c r="A10" s="3" t="s">
        <v>8</v>
      </c>
      <c r="B10" s="4">
        <v>1929</v>
      </c>
      <c r="C10" s="4"/>
      <c r="G10" s="3" t="s">
        <v>42</v>
      </c>
      <c r="H10" s="4">
        <v>3660</v>
      </c>
    </row>
    <row r="11" spans="1:8" x14ac:dyDescent="0.3">
      <c r="A11" s="3" t="s">
        <v>28</v>
      </c>
      <c r="B11" s="4">
        <v>679</v>
      </c>
      <c r="C11" s="4"/>
      <c r="G11" s="3" t="s">
        <v>41</v>
      </c>
      <c r="H11" s="4">
        <v>2000</v>
      </c>
    </row>
    <row r="12" spans="1:8" x14ac:dyDescent="0.3">
      <c r="A12" s="3" t="s">
        <v>37</v>
      </c>
      <c r="B12" s="4">
        <v>3660</v>
      </c>
      <c r="C12" s="4">
        <v>2000</v>
      </c>
      <c r="G12" s="3" t="s">
        <v>37</v>
      </c>
      <c r="H12" s="4">
        <v>4052.7049180327867</v>
      </c>
    </row>
  </sheetData>
  <conditionalFormatting sqref="A4:B4">
    <cfRule type="colorScale" priority="4">
      <colorScale>
        <cfvo type="num" val="0"/>
        <cfvo type="num" val="0"/>
        <color rgb="FF00B050"/>
        <color rgb="FFFF0000"/>
      </colorScale>
    </cfRule>
  </conditionalFormatting>
  <conditionalFormatting sqref="B4">
    <cfRule type="colorScale" priority="2">
      <colorScale>
        <cfvo type="min"/>
        <cfvo type="max"/>
        <color rgb="FF92D050"/>
        <color rgb="FFFF0000"/>
      </colorScale>
    </cfRule>
    <cfRule type="colorScale" priority="3">
      <colorScale>
        <cfvo type="num" val="0"/>
        <cfvo type="num" val="500"/>
        <color rgb="FF00B050"/>
        <color rgb="FFFF0000"/>
      </colorScale>
    </cfRule>
  </conditionalFormatting>
  <conditionalFormatting sqref="B5">
    <cfRule type="colorScale" priority="1">
      <colorScale>
        <cfvo type="percent" val="15"/>
        <cfvo type="percent" val="30"/>
        <cfvo type="percent" val="3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zoomScale="74" zoomScaleNormal="85" workbookViewId="0">
      <selection activeCell="I29" sqref="I29"/>
    </sheetView>
  </sheetViews>
  <sheetFormatPr defaultRowHeight="14.4" x14ac:dyDescent="0.3"/>
  <cols>
    <col min="1" max="1" width="12" customWidth="1"/>
    <col min="2" max="2" width="13" customWidth="1"/>
    <col min="3" max="3" width="25" customWidth="1"/>
    <col min="4" max="4" width="16" customWidth="1"/>
    <col min="5" max="6" width="13" customWidth="1"/>
    <col min="7" max="7" width="30" customWidth="1"/>
    <col min="9" max="10" width="22" customWidth="1"/>
    <col min="11" max="11" width="1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11" x14ac:dyDescent="0.3">
      <c r="A2" s="1">
        <v>46082</v>
      </c>
      <c r="B2" t="s">
        <v>25</v>
      </c>
      <c r="C2" t="s">
        <v>8</v>
      </c>
      <c r="D2">
        <f>250+572</f>
        <v>822</v>
      </c>
      <c r="G2" t="s">
        <v>9</v>
      </c>
      <c r="I2" t="s">
        <v>10</v>
      </c>
    </row>
    <row r="3" spans="1:11" x14ac:dyDescent="0.3">
      <c r="A3" s="1">
        <v>46083</v>
      </c>
      <c r="B3" t="s">
        <v>26</v>
      </c>
      <c r="C3" t="s">
        <v>11</v>
      </c>
      <c r="D3">
        <f>48+19+10</f>
        <v>77</v>
      </c>
      <c r="G3" t="s">
        <v>12</v>
      </c>
      <c r="I3" t="s">
        <v>13</v>
      </c>
    </row>
    <row r="4" spans="1:11" x14ac:dyDescent="0.3">
      <c r="A4" s="1">
        <v>46084</v>
      </c>
      <c r="B4" t="s">
        <v>26</v>
      </c>
      <c r="C4" t="s">
        <v>11</v>
      </c>
      <c r="D4">
        <f>50+50+10</f>
        <v>110</v>
      </c>
      <c r="G4" t="s">
        <v>14</v>
      </c>
      <c r="I4" t="s">
        <v>15</v>
      </c>
    </row>
    <row r="5" spans="1:11" x14ac:dyDescent="0.3">
      <c r="A5" s="1">
        <v>46084</v>
      </c>
      <c r="B5" t="s">
        <v>16</v>
      </c>
      <c r="C5" t="s">
        <v>16</v>
      </c>
      <c r="E5">
        <v>2000</v>
      </c>
      <c r="G5" t="s">
        <v>17</v>
      </c>
    </row>
    <row r="6" spans="1:11" x14ac:dyDescent="0.3">
      <c r="A6" s="1">
        <v>46085</v>
      </c>
      <c r="B6" t="s">
        <v>29</v>
      </c>
      <c r="C6" t="s">
        <v>29</v>
      </c>
      <c r="I6" t="s">
        <v>18</v>
      </c>
      <c r="J6">
        <f>SUM(D:D)</f>
        <v>3660</v>
      </c>
    </row>
    <row r="7" spans="1:11" x14ac:dyDescent="0.3">
      <c r="A7" s="1">
        <v>46086</v>
      </c>
      <c r="B7" t="s">
        <v>27</v>
      </c>
      <c r="C7" t="s">
        <v>28</v>
      </c>
      <c r="D7">
        <v>4</v>
      </c>
      <c r="I7" t="s">
        <v>19</v>
      </c>
      <c r="J7">
        <f>SUM(E:E)</f>
        <v>2000</v>
      </c>
    </row>
    <row r="8" spans="1:11" x14ac:dyDescent="0.3">
      <c r="A8" s="1">
        <v>46087</v>
      </c>
      <c r="B8" t="s">
        <v>27</v>
      </c>
      <c r="C8" t="s">
        <v>28</v>
      </c>
      <c r="D8">
        <v>10</v>
      </c>
      <c r="I8" t="s">
        <v>20</v>
      </c>
      <c r="J8">
        <f>J6-J7</f>
        <v>1660</v>
      </c>
    </row>
    <row r="9" spans="1:11" x14ac:dyDescent="0.3">
      <c r="A9" s="1">
        <v>46087</v>
      </c>
      <c r="B9" t="s">
        <v>30</v>
      </c>
      <c r="C9" t="s">
        <v>28</v>
      </c>
      <c r="D9">
        <v>100</v>
      </c>
      <c r="I9" t="s">
        <v>21</v>
      </c>
      <c r="J9" t="str">
        <f>IF(J8&lt;=1500,"GREEN",IF(J8&lt;=2500,"YELLOW","RED"))</f>
        <v>YELLOW</v>
      </c>
    </row>
    <row r="10" spans="1:11" x14ac:dyDescent="0.3">
      <c r="A10" s="1">
        <v>46087</v>
      </c>
      <c r="B10" t="s">
        <v>25</v>
      </c>
      <c r="C10" t="s">
        <v>8</v>
      </c>
      <c r="D10">
        <v>750</v>
      </c>
    </row>
    <row r="11" spans="1:11" x14ac:dyDescent="0.3">
      <c r="A11" s="1">
        <v>46088</v>
      </c>
      <c r="B11" t="s">
        <v>31</v>
      </c>
      <c r="C11" t="s">
        <v>11</v>
      </c>
      <c r="D11">
        <v>160</v>
      </c>
      <c r="I11" t="s">
        <v>22</v>
      </c>
    </row>
    <row r="12" spans="1:11" x14ac:dyDescent="0.3">
      <c r="A12" s="1">
        <v>46089</v>
      </c>
      <c r="B12" t="s">
        <v>26</v>
      </c>
      <c r="C12" t="s">
        <v>11</v>
      </c>
      <c r="D12">
        <v>76</v>
      </c>
    </row>
    <row r="13" spans="1:11" x14ac:dyDescent="0.3">
      <c r="A13" s="1">
        <v>46090</v>
      </c>
      <c r="B13" t="s">
        <v>29</v>
      </c>
      <c r="C13" t="s">
        <v>29</v>
      </c>
      <c r="I13" t="s">
        <v>23</v>
      </c>
      <c r="J13">
        <f>SUMIF(C:C,"Food &amp; Groceries",D:D)</f>
        <v>1052</v>
      </c>
      <c r="K13" t="str">
        <f>IF(J13&lt;=1000,"GREEN",IF(J13&lt;=1500,"YELLOW","RED"))</f>
        <v>YELLOW</v>
      </c>
    </row>
    <row r="14" spans="1:11" x14ac:dyDescent="0.3">
      <c r="A14" s="1">
        <v>46091</v>
      </c>
      <c r="B14" t="s">
        <v>29</v>
      </c>
      <c r="C14" t="s">
        <v>29</v>
      </c>
      <c r="I14" t="s">
        <v>24</v>
      </c>
      <c r="J14">
        <f>SUMIF(C:C,"Investment (SIP/Stocks)",D:D)</f>
        <v>1929</v>
      </c>
      <c r="K14" t="str">
        <f>IF(J14&gt;=1000,"GREEN",IF(J14&gt;500,"YELLOW","RED"))</f>
        <v>GREEN</v>
      </c>
    </row>
    <row r="15" spans="1:11" x14ac:dyDescent="0.3">
      <c r="A15" s="1">
        <v>46092</v>
      </c>
      <c r="B15" t="s">
        <v>31</v>
      </c>
      <c r="C15" t="s">
        <v>11</v>
      </c>
      <c r="D15">
        <v>15</v>
      </c>
      <c r="I15" t="s">
        <v>28</v>
      </c>
      <c r="J15">
        <f>SUMIF(C:C,"Miscelleneous ",D:D)</f>
        <v>679</v>
      </c>
      <c r="K15" t="str">
        <f>IF(J15&lt;=500,"GREEN",IF(J15&gt;500,"YELLOW","RED"))</f>
        <v>YELLOW</v>
      </c>
    </row>
    <row r="16" spans="1:11" x14ac:dyDescent="0.3">
      <c r="A16" s="1">
        <v>46093</v>
      </c>
      <c r="B16" t="s">
        <v>31</v>
      </c>
      <c r="C16" t="s">
        <v>11</v>
      </c>
      <c r="D16">
        <f>15+19</f>
        <v>34</v>
      </c>
    </row>
    <row r="17" spans="1:4" x14ac:dyDescent="0.3">
      <c r="A17" s="1">
        <v>46094</v>
      </c>
      <c r="B17" t="s">
        <v>32</v>
      </c>
      <c r="C17" t="s">
        <v>28</v>
      </c>
      <c r="D17">
        <v>50</v>
      </c>
    </row>
    <row r="18" spans="1:4" x14ac:dyDescent="0.3">
      <c r="A18" s="1">
        <v>46094</v>
      </c>
      <c r="B18" t="s">
        <v>31</v>
      </c>
      <c r="C18" t="s">
        <v>11</v>
      </c>
      <c r="D18">
        <v>40</v>
      </c>
    </row>
    <row r="19" spans="1:4" x14ac:dyDescent="0.3">
      <c r="A19" s="1">
        <v>46095</v>
      </c>
    </row>
    <row r="20" spans="1:4" x14ac:dyDescent="0.3">
      <c r="A20" s="1">
        <v>46096</v>
      </c>
    </row>
    <row r="21" spans="1:4" x14ac:dyDescent="0.3">
      <c r="A21" s="1">
        <v>46097</v>
      </c>
      <c r="B21" t="s">
        <v>32</v>
      </c>
      <c r="C21" t="s">
        <v>28</v>
      </c>
      <c r="D21">
        <v>50</v>
      </c>
    </row>
    <row r="22" spans="1:4" x14ac:dyDescent="0.3">
      <c r="A22" s="1">
        <v>46098</v>
      </c>
      <c r="B22" t="s">
        <v>31</v>
      </c>
      <c r="C22" t="s">
        <v>11</v>
      </c>
      <c r="D22">
        <v>45</v>
      </c>
    </row>
    <row r="23" spans="1:4" x14ac:dyDescent="0.3">
      <c r="A23" s="1">
        <v>46099</v>
      </c>
      <c r="B23" t="s">
        <v>31</v>
      </c>
      <c r="C23" t="s">
        <v>11</v>
      </c>
      <c r="D23">
        <f>25+55+40</f>
        <v>120</v>
      </c>
    </row>
    <row r="24" spans="1:4" x14ac:dyDescent="0.3">
      <c r="A24" s="1">
        <v>46100</v>
      </c>
      <c r="B24" t="s">
        <v>32</v>
      </c>
      <c r="C24" t="s">
        <v>28</v>
      </c>
      <c r="D24">
        <f>250+54</f>
        <v>304</v>
      </c>
    </row>
    <row r="25" spans="1:4" x14ac:dyDescent="0.3">
      <c r="A25" s="1">
        <v>46101</v>
      </c>
      <c r="B25" t="s">
        <v>29</v>
      </c>
      <c r="C25" t="s">
        <v>29</v>
      </c>
    </row>
    <row r="26" spans="1:4" x14ac:dyDescent="0.3">
      <c r="A26" s="1">
        <v>46102</v>
      </c>
      <c r="B26" t="s">
        <v>29</v>
      </c>
      <c r="C26" t="s">
        <v>29</v>
      </c>
    </row>
    <row r="27" spans="1:4" x14ac:dyDescent="0.3">
      <c r="A27" s="1">
        <v>46103</v>
      </c>
      <c r="B27" t="s">
        <v>29</v>
      </c>
      <c r="C27" t="s">
        <v>29</v>
      </c>
    </row>
    <row r="28" spans="1:4" x14ac:dyDescent="0.3">
      <c r="A28" s="1">
        <v>46104</v>
      </c>
      <c r="B28" t="s">
        <v>32</v>
      </c>
      <c r="C28" t="s">
        <v>28</v>
      </c>
      <c r="D28">
        <f>49+100</f>
        <v>149</v>
      </c>
    </row>
    <row r="29" spans="1:4" x14ac:dyDescent="0.3">
      <c r="A29" s="1">
        <v>46105</v>
      </c>
      <c r="B29" t="s">
        <v>31</v>
      </c>
      <c r="C29" t="s">
        <v>11</v>
      </c>
      <c r="D29">
        <v>20</v>
      </c>
    </row>
    <row r="30" spans="1:4" x14ac:dyDescent="0.3">
      <c r="A30" s="1">
        <v>46106</v>
      </c>
      <c r="B30" t="s">
        <v>31</v>
      </c>
      <c r="C30" t="s">
        <v>11</v>
      </c>
      <c r="D30">
        <v>50</v>
      </c>
    </row>
    <row r="31" spans="1:4" x14ac:dyDescent="0.3">
      <c r="A31" s="1">
        <v>46107</v>
      </c>
      <c r="B31" t="s">
        <v>31</v>
      </c>
      <c r="C31" t="s">
        <v>11</v>
      </c>
      <c r="D31">
        <v>165</v>
      </c>
    </row>
    <row r="32" spans="1:4" x14ac:dyDescent="0.3">
      <c r="A32" s="1">
        <v>46108</v>
      </c>
      <c r="B32" t="s">
        <v>29</v>
      </c>
      <c r="C32" t="s">
        <v>29</v>
      </c>
    </row>
    <row r="33" spans="1:4" x14ac:dyDescent="0.3">
      <c r="A33" s="1">
        <v>46109</v>
      </c>
      <c r="B33" t="s">
        <v>25</v>
      </c>
      <c r="C33" t="s">
        <v>8</v>
      </c>
      <c r="D33">
        <f>250+107</f>
        <v>357</v>
      </c>
    </row>
    <row r="34" spans="1:4" x14ac:dyDescent="0.3">
      <c r="A34" s="1">
        <v>46109</v>
      </c>
      <c r="B34" t="s">
        <v>31</v>
      </c>
      <c r="C34" t="s">
        <v>11</v>
      </c>
      <c r="D34">
        <v>20</v>
      </c>
    </row>
    <row r="35" spans="1:4" x14ac:dyDescent="0.3">
      <c r="A35" s="1">
        <v>46109</v>
      </c>
      <c r="B35" t="s">
        <v>33</v>
      </c>
      <c r="C35" t="s">
        <v>28</v>
      </c>
      <c r="D35">
        <v>12</v>
      </c>
    </row>
    <row r="36" spans="1:4" x14ac:dyDescent="0.3">
      <c r="A36" s="1">
        <v>46110</v>
      </c>
      <c r="B36" t="s">
        <v>29</v>
      </c>
      <c r="C36" t="s">
        <v>29</v>
      </c>
    </row>
    <row r="37" spans="1:4" x14ac:dyDescent="0.3">
      <c r="A37" s="1">
        <v>46111</v>
      </c>
      <c r="B37" t="s">
        <v>29</v>
      </c>
      <c r="C37" t="s">
        <v>29</v>
      </c>
    </row>
    <row r="38" spans="1:4" x14ac:dyDescent="0.3">
      <c r="A38" s="1">
        <v>46112</v>
      </c>
      <c r="B38" t="s">
        <v>34</v>
      </c>
      <c r="C38" t="s">
        <v>11</v>
      </c>
      <c r="D38">
        <v>120</v>
      </c>
    </row>
  </sheetData>
  <conditionalFormatting sqref="D12:D13">
    <cfRule type="cellIs" priority="4" operator="lessThanOrEqual">
      <formula>500</formula>
    </cfRule>
  </conditionalFormatting>
  <conditionalFormatting sqref="J9">
    <cfRule type="expression" dxfId="6" priority="5">
      <formula>J9="GREEN"</formula>
    </cfRule>
    <cfRule type="expression" dxfId="5" priority="6">
      <formula>J9="YELLOW"</formula>
    </cfRule>
    <cfRule type="expression" dxfId="4" priority="7">
      <formula>J9="RED"</formula>
    </cfRule>
  </conditionalFormatting>
  <conditionalFormatting sqref="K13:K15">
    <cfRule type="expression" dxfId="3" priority="8">
      <formula>K13="GREEN"</formula>
    </cfRule>
    <cfRule type="expression" dxfId="2" priority="9">
      <formula>K13="YELLOW"</formula>
    </cfRule>
    <cfRule type="expression" dxfId="1" priority="10">
      <formula>K13="RED"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Feb-Mar Spending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medhakodiadka@outlook.com</cp:lastModifiedBy>
  <dcterms:created xsi:type="dcterms:W3CDTF">2026-03-01T13:46:52Z</dcterms:created>
  <dcterms:modified xsi:type="dcterms:W3CDTF">2026-05-27T17:41:57Z</dcterms:modified>
</cp:coreProperties>
</file>